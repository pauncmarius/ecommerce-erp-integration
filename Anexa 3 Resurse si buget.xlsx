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paunm\Downloads\"/>
    </mc:Choice>
  </mc:AlternateContent>
  <xr:revisionPtr revIDLastSave="0" documentId="13_ncr:1_{95D40580-2441-414D-A334-6081F738E6E5}" xr6:coauthVersionLast="47" xr6:coauthVersionMax="47" xr10:uidLastSave="{00000000-0000-0000-0000-000000000000}"/>
  <bookViews>
    <workbookView xWindow="16944" yWindow="3576" windowWidth="30960" windowHeight="12120" activeTab="2" xr2:uid="{00000000-000D-0000-FFFF-FFFF00000000}"/>
  </bookViews>
  <sheets>
    <sheet name="anexa2_1 Resurse" sheetId="3" r:id="rId1"/>
    <sheet name="anexa2_2 Buget_detaliat" sheetId="1" r:id="rId2"/>
    <sheet name="anexa2_3 Buget_general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2" l="1"/>
  <c r="D25" i="2"/>
  <c r="C25" i="2"/>
  <c r="A24" i="2"/>
  <c r="A23" i="2"/>
  <c r="A22" i="2"/>
  <c r="A21" i="2"/>
  <c r="C19" i="2"/>
  <c r="A16" i="2"/>
  <c r="A15" i="2"/>
  <c r="A14" i="2"/>
  <c r="A13" i="2"/>
  <c r="A12" i="2"/>
  <c r="A10" i="2"/>
  <c r="A9" i="2"/>
  <c r="A8" i="2"/>
  <c r="E65" i="1"/>
  <c r="E61" i="1"/>
  <c r="E57" i="1"/>
  <c r="E44" i="1"/>
  <c r="E23" i="1"/>
  <c r="E19" i="1"/>
  <c r="E15" i="1"/>
  <c r="D26" i="2" l="1"/>
  <c r="E28" i="1"/>
  <c r="B23" i="2" s="1"/>
  <c r="E24" i="1"/>
  <c r="B22" i="2" s="1"/>
  <c r="E62" i="1"/>
  <c r="B15" i="2" s="1"/>
  <c r="E16" i="1"/>
  <c r="B9" i="2" s="1"/>
  <c r="E20" i="1"/>
  <c r="B21" i="2" s="1"/>
  <c r="E35" i="1"/>
  <c r="B24" i="2" s="1"/>
  <c r="E41" i="1"/>
  <c r="B10" i="2" s="1"/>
  <c r="E58" i="1"/>
  <c r="B14" i="2" s="1"/>
  <c r="E66" i="1"/>
  <c r="B16" i="2" s="1"/>
  <c r="E45" i="1"/>
  <c r="B11" i="2" s="1"/>
  <c r="E49" i="1"/>
  <c r="B12" i="2" s="1"/>
  <c r="E54" i="1"/>
  <c r="B13" i="2" s="1"/>
  <c r="C26" i="2"/>
  <c r="E12" i="1"/>
  <c r="B8" i="2" s="1"/>
  <c r="B25" i="2" l="1"/>
  <c r="B19" i="2"/>
  <c r="B26" i="2" l="1"/>
</calcChain>
</file>

<file path=xl/sharedStrings.xml><?xml version="1.0" encoding="utf-8"?>
<sst xmlns="http://schemas.openxmlformats.org/spreadsheetml/2006/main" count="276" uniqueCount="141">
  <si>
    <t>Alocarea resurselor pe activități (resursele umane din echipa proiectului 
vor fi introduse conform alocarii din Anexa 1 - Graficul Responsabilitatilor)</t>
  </si>
  <si>
    <t>Cod activitate</t>
  </si>
  <si>
    <t>Denumire activitate</t>
  </si>
  <si>
    <t>Denumire resursă</t>
  </si>
  <si>
    <t>Unitate de măsură</t>
  </si>
  <si>
    <t>Cantitate estimată necesară</t>
  </si>
  <si>
    <t>Preț pe unitate</t>
  </si>
  <si>
    <t>Valoare</t>
  </si>
  <si>
    <t>Nume student</t>
  </si>
  <si>
    <t>...</t>
  </si>
  <si>
    <t>…</t>
  </si>
  <si>
    <t>Buget detaliat pe categorii de cheltuieli</t>
  </si>
  <si>
    <t>Denumire solicitant fonduri:</t>
  </si>
  <si>
    <t>Costuri totale</t>
  </si>
  <si>
    <t>1. Denumirile resurselor de pe prima coloană vor fi aceleași cu cele identificate pe activități</t>
  </si>
  <si>
    <t>Unitatea de măsură</t>
  </si>
  <si>
    <t>Numărul de unitați</t>
  </si>
  <si>
    <t>Cost pe unitate</t>
  </si>
  <si>
    <t>Cost total</t>
  </si>
  <si>
    <t>(4.1 în formularul de proiect, anexa 2_1resurse), dar aici sunt sortate în funcție de tipul de cheltuială pe care o generează.</t>
  </si>
  <si>
    <t>Moneda:</t>
  </si>
  <si>
    <t>2. Se pot adăuga linii dacă este nevoie. În acest caz, va fi necesară refacerea formulelor din anexa 2_3buget_general.</t>
  </si>
  <si>
    <t>Cheltuieli cu personalul</t>
  </si>
  <si>
    <t>lună, zi sau oră</t>
  </si>
  <si>
    <t>Total cheltuieli cu personalul</t>
  </si>
  <si>
    <t>Cheltuieli cu consultanță/servicii</t>
  </si>
  <si>
    <t>lună, zi sau oră; contravaloare serviciu de oferire expertiză/consultanță</t>
  </si>
  <si>
    <t>Total cheltuieli consultanță/servicii</t>
  </si>
  <si>
    <t>Cheltuieli cu investițiile în spații (amenajări spații, clădiri etc.)</t>
  </si>
  <si>
    <t>mp, deviz lucrare etc.</t>
  </si>
  <si>
    <t>Total cheltuieli investițiile în spații (amenajări)</t>
  </si>
  <si>
    <t>Cheltuieli cu investițiile în mobilier</t>
  </si>
  <si>
    <t>bucată etc.</t>
  </si>
  <si>
    <t>Total cheltuieli cu investițiile în mobilier</t>
  </si>
  <si>
    <t>Cheltuieli cu investițiile în echipamente</t>
  </si>
  <si>
    <t>Total cheltuieli cu investițiile în echipamente</t>
  </si>
  <si>
    <t>Cheltuieli cu investițiile în software</t>
  </si>
  <si>
    <t>bucată, licență pe produs, licență anuală etc.</t>
  </si>
  <si>
    <t>Total cheltuieli cu investițiile în software</t>
  </si>
  <si>
    <t>Cheltuieli materiale (materiale consumabile)</t>
  </si>
  <si>
    <t>l, m, bucăți, kg etc.</t>
  </si>
  <si>
    <t>Total cheltuieli materiale consumabile</t>
  </si>
  <si>
    <t>Cheltuieli cu chiriile</t>
  </si>
  <si>
    <t>mp/lună, mp/an, an, bucată/zi, bucată/an etc.</t>
  </si>
  <si>
    <t>Total cheltuieli cu chiriile</t>
  </si>
  <si>
    <t>Cheltuieli cu resursele informaționale</t>
  </si>
  <si>
    <t>bucăți, abonament pe an etc.</t>
  </si>
  <si>
    <t>Total cheltuieli cu resursele informaționale</t>
  </si>
  <si>
    <t>Cheltuieli promoționale</t>
  </si>
  <si>
    <t>minute, bucăți etc.</t>
  </si>
  <si>
    <t>Total cheltuieli promoționale</t>
  </si>
  <si>
    <t>Cheltuieli cu mobilitățile și transportul</t>
  </si>
  <si>
    <t>l, nopți cazare, bilete de transport etc.</t>
  </si>
  <si>
    <t>Total cheltuieli cu mobilitățile și transportul</t>
  </si>
  <si>
    <t>Cheltuieli curente</t>
  </si>
  <si>
    <t>mc, kw/h, abonament lunar etc.</t>
  </si>
  <si>
    <t>Total cheltuieli curente</t>
  </si>
  <si>
    <t>Alte cheltuieli</t>
  </si>
  <si>
    <t>Total alte cheltuieli</t>
  </si>
  <si>
    <t>Buget general</t>
  </si>
  <si>
    <t>Sursa de finanțare</t>
  </si>
  <si>
    <t>Contribuție finanțator</t>
  </si>
  <si>
    <t>Contribuție proprie</t>
  </si>
  <si>
    <t>A. Cheltuieli de exploatare</t>
  </si>
  <si>
    <t>Cheltuieli speciale</t>
  </si>
  <si>
    <t>Cheltuieli neprevăzute</t>
  </si>
  <si>
    <t>Subtotal cheltuieli de exploatare (A)</t>
  </si>
  <si>
    <t>B. Investiții</t>
  </si>
  <si>
    <t>Subtotal investiții (B)</t>
  </si>
  <si>
    <t>TOTAL BUGET</t>
  </si>
  <si>
    <t>Analiza și Planificarea inițială</t>
  </si>
  <si>
    <t>-</t>
  </si>
  <si>
    <t>Ciobanu Rareș</t>
  </si>
  <si>
    <t>Analiza proceselor interne actuale (as-is)</t>
  </si>
  <si>
    <t>Expertiză Tehnică (Ciobanu Rareș)</t>
  </si>
  <si>
    <t>ore</t>
  </si>
  <si>
    <t>Consumabile birou (hârtie, toner)</t>
  </si>
  <si>
    <t>set</t>
  </si>
  <si>
    <t>Definirea fluxurilor dorite (to-be)</t>
  </si>
  <si>
    <t>Elaborarea specificațiilor tehnice</t>
  </si>
  <si>
    <t>Redactarea Caietului de Sarcini</t>
  </si>
  <si>
    <t>Achiziția serviciilor de dezvoltare</t>
  </si>
  <si>
    <t>Lupu Raluca</t>
  </si>
  <si>
    <t>Prospectarea pieței furnizorilor</t>
  </si>
  <si>
    <t>Expertiză Achiziții (Lupu Raluca)</t>
  </si>
  <si>
    <t>Abonament platformă licitații publice</t>
  </si>
  <si>
    <t>buc</t>
  </si>
  <si>
    <t>Transmiterea Cererilor de Ofertă (RFO)</t>
  </si>
  <si>
    <t>Evaluarea ofertelor</t>
  </si>
  <si>
    <t>Negocierea și semnarea contractului</t>
  </si>
  <si>
    <t>Dezvoltarea și Integrarea Platformei</t>
  </si>
  <si>
    <t>Păun Marius</t>
  </si>
  <si>
    <t>Configurare servere și mediu dev.</t>
  </si>
  <si>
    <t>Expertiză Manager Proiect (Păun M.)</t>
  </si>
  <si>
    <t>Server Hosting Dedicat (1 an)</t>
  </si>
  <si>
    <t>Certificat SSL EV</t>
  </si>
  <si>
    <t>Dezvoltarea conectorului API</t>
  </si>
  <si>
    <t>Servicii Dezvoltare Soft (Tranșa 1)</t>
  </si>
  <si>
    <t>contr.</t>
  </si>
  <si>
    <t>Implementare design și funcționalități</t>
  </si>
  <si>
    <t>Servicii Dezvoltare Soft (Tranșa 2)</t>
  </si>
  <si>
    <t>Testarea funcțională și securitate</t>
  </si>
  <si>
    <t>Gestionarea Conținutului</t>
  </si>
  <si>
    <t>Colectarea specificațiilor și foto</t>
  </si>
  <si>
    <t>Expertiză Conținut (Ciobanu Rareș)</t>
  </si>
  <si>
    <t>HDD Extern 4TB Backup</t>
  </si>
  <si>
    <t>Prelucrarea imaginilor de produs</t>
  </si>
  <si>
    <t>Licență Adobe Photoshop/Lightroom</t>
  </si>
  <si>
    <t>Importul datelor și verificare (QA)</t>
  </si>
  <si>
    <t>Management Resurse Umane</t>
  </si>
  <si>
    <t>Elaborarea materialelor de training</t>
  </si>
  <si>
    <t>Expertiză Trainer (Lupu Raluca)</t>
  </si>
  <si>
    <t>Materiale training printate</t>
  </si>
  <si>
    <t>Susținerea sesiunilor de training</t>
  </si>
  <si>
    <t>Protocol sesiuni (apă, cafea)</t>
  </si>
  <si>
    <t>pachet</t>
  </si>
  <si>
    <t>Evaluarea cunoștințelor dobândite</t>
  </si>
  <si>
    <t>Lansare și Monitorizare Proiect</t>
  </si>
  <si>
    <t>Monitorizarea progresului (recurent)</t>
  </si>
  <si>
    <t>Campanie de marketing lansare</t>
  </si>
  <si>
    <t>Campanie Marketing Online (Ads)</t>
  </si>
  <si>
    <t>camp.</t>
  </si>
  <si>
    <t>Servicii Grafică Promo</t>
  </si>
  <si>
    <t>Go-Live și monitorizare 24h</t>
  </si>
  <si>
    <t>Rapoarte finale și închidere</t>
  </si>
  <si>
    <t>SC NextGen Hardware SRL</t>
  </si>
  <si>
    <t>RON</t>
  </si>
  <si>
    <t>Manager de proiect (Păun Marius)</t>
  </si>
  <si>
    <t>Membru echipă 1 (Ciobanu Rareș - Coord. Tehnic)</t>
  </si>
  <si>
    <t>Membru echipă 2 (Lupu Raluca - Coord. Achiziții)</t>
  </si>
  <si>
    <t>(Nu avem consultanți externi în afara contractului mare de la investiții)</t>
  </si>
  <si>
    <t>Materiale training printate (manuale)</t>
  </si>
  <si>
    <t>Pachet protocol sesiuni training (apă, cafea)</t>
  </si>
  <si>
    <t>Campanie Marketing Online (Google/FB Ads)</t>
  </si>
  <si>
    <t>campanie</t>
  </si>
  <si>
    <t>Servicii Grafică Materiale Promoționale</t>
  </si>
  <si>
    <t>HDD Extern 4TB pentru Backup date</t>
  </si>
  <si>
    <t>Contract Prestări Servicii Dezvoltare Software</t>
  </si>
  <si>
    <t>contract</t>
  </si>
  <si>
    <t>Abonament Server Hosting Dedicat (1 an)</t>
  </si>
  <si>
    <t>Certificat SSL EV (Extended 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</si>
</sst>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238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238"/>
      <scheme val="minor"/>
    </font>
    <font>
      <b/>
      <sz val="11"/>
      <color theme="1"/>
      <name val="Calibri"/>
      <charset val="238"/>
      <scheme val="minor"/>
    </font>
    <font>
      <b/>
      <sz val="10"/>
      <name val="Calibri"/>
      <charset val="134"/>
    </font>
    <font>
      <sz val="10"/>
      <name val="Arial"/>
      <charset val="134"/>
    </font>
    <font>
      <sz val="10"/>
      <color theme="1"/>
      <name val="Calibri"/>
      <charset val="238"/>
      <scheme val="minor"/>
    </font>
    <font>
      <b/>
      <i/>
      <sz val="11"/>
      <color theme="1"/>
      <name val="Calibri"/>
      <charset val="238"/>
      <scheme val="minor"/>
    </font>
    <font>
      <i/>
      <sz val="11"/>
      <color theme="1"/>
      <name val="Calibri"/>
      <charset val="238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1454817346722"/>
        <bgColor rgb="FFE5B8B7"/>
      </patternFill>
    </fill>
    <fill>
      <patternFill patternType="solid">
        <fgColor theme="5" tint="0.39991454817346722"/>
        <bgColor rgb="FFD9959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rgb="FFE5B8B7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6" fillId="0" borderId="4" xfId="0" applyFont="1" applyBorder="1"/>
    <xf numFmtId="0" fontId="3" fillId="2" borderId="4" xfId="0" applyFont="1" applyFill="1" applyBorder="1"/>
    <xf numFmtId="0" fontId="0" fillId="0" borderId="7" xfId="0" applyBorder="1"/>
    <xf numFmtId="0" fontId="3" fillId="0" borderId="10" xfId="0" applyFont="1" applyBorder="1"/>
    <xf numFmtId="0" fontId="0" fillId="0" borderId="10" xfId="0" applyBorder="1"/>
    <xf numFmtId="0" fontId="0" fillId="6" borderId="11" xfId="0" applyFill="1" applyBorder="1"/>
    <xf numFmtId="2" fontId="0" fillId="6" borderId="11" xfId="0" applyNumberFormat="1" applyFill="1" applyBorder="1"/>
    <xf numFmtId="0" fontId="0" fillId="6" borderId="5" xfId="0" applyFill="1" applyBorder="1"/>
    <xf numFmtId="2" fontId="0" fillId="6" borderId="5" xfId="0" applyNumberFormat="1" applyFill="1" applyBorder="1"/>
    <xf numFmtId="0" fontId="0" fillId="6" borderId="12" xfId="0" applyFill="1" applyBorder="1"/>
    <xf numFmtId="0" fontId="3" fillId="0" borderId="13" xfId="0" applyFont="1" applyBorder="1"/>
    <xf numFmtId="2" fontId="3" fillId="0" borderId="13" xfId="0" applyNumberFormat="1" applyFont="1" applyBorder="1"/>
    <xf numFmtId="0" fontId="3" fillId="0" borderId="14" xfId="0" applyFont="1" applyBorder="1"/>
    <xf numFmtId="0" fontId="0" fillId="0" borderId="14" xfId="0" applyBorder="1"/>
    <xf numFmtId="0" fontId="7" fillId="0" borderId="14" xfId="0" applyFont="1" applyBorder="1"/>
    <xf numFmtId="2" fontId="7" fillId="0" borderId="14" xfId="0" applyNumberFormat="1" applyFont="1" applyBorder="1"/>
    <xf numFmtId="0" fontId="3" fillId="2" borderId="15" xfId="0" applyFont="1" applyFill="1" applyBorder="1"/>
    <xf numFmtId="0" fontId="6" fillId="0" borderId="0" xfId="0" applyFont="1"/>
    <xf numFmtId="0" fontId="6" fillId="0" borderId="18" xfId="0" applyFont="1" applyBorder="1"/>
    <xf numFmtId="0" fontId="5" fillId="0" borderId="0" xfId="0" applyFont="1"/>
    <xf numFmtId="0" fontId="3" fillId="8" borderId="26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0" fontId="8" fillId="0" borderId="1" xfId="0" applyFont="1" applyBorder="1"/>
    <xf numFmtId="0" fontId="0" fillId="0" borderId="2" xfId="0" applyBorder="1"/>
    <xf numFmtId="2" fontId="0" fillId="0" borderId="2" xfId="0" applyNumberFormat="1" applyBorder="1"/>
    <xf numFmtId="0" fontId="8" fillId="0" borderId="4" xfId="0" applyFont="1" applyBorder="1"/>
    <xf numFmtId="0" fontId="0" fillId="0" borderId="5" xfId="0" applyBorder="1"/>
    <xf numFmtId="2" fontId="0" fillId="0" borderId="5" xfId="0" applyNumberFormat="1" applyBorder="1"/>
    <xf numFmtId="0" fontId="3" fillId="0" borderId="27" xfId="0" applyFont="1" applyBorder="1"/>
    <xf numFmtId="0" fontId="8" fillId="0" borderId="16" xfId="0" applyFont="1" applyBorder="1"/>
    <xf numFmtId="0" fontId="0" fillId="0" borderId="16" xfId="0" applyBorder="1"/>
    <xf numFmtId="2" fontId="0" fillId="0" borderId="16" xfId="0" applyNumberFormat="1" applyBorder="1"/>
    <xf numFmtId="0" fontId="3" fillId="8" borderId="15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2" fontId="0" fillId="0" borderId="10" xfId="0" applyNumberFormat="1" applyBorder="1"/>
    <xf numFmtId="0" fontId="8" fillId="0" borderId="30" xfId="0" applyFont="1" applyBorder="1"/>
    <xf numFmtId="0" fontId="0" fillId="0" borderId="11" xfId="0" applyBorder="1"/>
    <xf numFmtId="2" fontId="0" fillId="0" borderId="11" xfId="0" applyNumberFormat="1" applyBorder="1"/>
    <xf numFmtId="0" fontId="0" fillId="0" borderId="28" xfId="0" applyBorder="1"/>
    <xf numFmtId="0" fontId="0" fillId="0" borderId="29" xfId="0" applyBorder="1"/>
    <xf numFmtId="0" fontId="3" fillId="8" borderId="26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2" xfId="0" applyFont="1" applyBorder="1"/>
    <xf numFmtId="0" fontId="7" fillId="0" borderId="27" xfId="0" applyFont="1" applyBorder="1"/>
    <xf numFmtId="0" fontId="7" fillId="0" borderId="0" xfId="0" applyFont="1"/>
    <xf numFmtId="2" fontId="3" fillId="0" borderId="0" xfId="0" applyNumberFormat="1" applyFont="1"/>
    <xf numFmtId="0" fontId="7" fillId="0" borderId="31" xfId="0" applyFont="1" applyBorder="1"/>
    <xf numFmtId="0" fontId="3" fillId="0" borderId="32" xfId="0" applyFont="1" applyBorder="1"/>
    <xf numFmtId="0" fontId="8" fillId="0" borderId="5" xfId="0" applyFont="1" applyBorder="1"/>
    <xf numFmtId="0" fontId="8" fillId="0" borderId="5" xfId="0" applyFont="1" applyBorder="1" applyAlignment="1">
      <alignment wrapText="1"/>
    </xf>
    <xf numFmtId="0" fontId="9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7" borderId="19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5" fillId="8" borderId="24" xfId="0" applyFont="1" applyFill="1" applyBorder="1"/>
    <xf numFmtId="0" fontId="4" fillId="7" borderId="20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5" fillId="8" borderId="25" xfId="0" applyFont="1" applyFill="1" applyBorder="1"/>
    <xf numFmtId="0" fontId="4" fillId="7" borderId="16" xfId="0" applyFont="1" applyFill="1" applyBorder="1" applyAlignment="1">
      <alignment horizontal="center"/>
    </xf>
    <xf numFmtId="0" fontId="5" fillId="8" borderId="16" xfId="0" applyFont="1" applyFill="1" applyBorder="1"/>
    <xf numFmtId="0" fontId="5" fillId="8" borderId="17" xfId="0" applyFont="1" applyFill="1" applyBorder="1"/>
    <xf numFmtId="0" fontId="0" fillId="0" borderId="28" xfId="0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/>
    <xf numFmtId="0" fontId="4" fillId="4" borderId="6" xfId="0" applyFont="1" applyFill="1" applyBorder="1" applyAlignment="1">
      <alignment horizontal="center" vertical="center" wrapText="1"/>
    </xf>
    <xf numFmtId="0" fontId="5" fillId="5" borderId="9" xfId="0" applyFont="1" applyFill="1" applyBorder="1"/>
    <xf numFmtId="0" fontId="10" fillId="0" borderId="5" xfId="0" applyFont="1" applyBorder="1"/>
    <xf numFmtId="0" fontId="11" fillId="0" borderId="5" xfId="0" applyFont="1" applyBorder="1"/>
    <xf numFmtId="0" fontId="1" fillId="0" borderId="23" xfId="0" applyFont="1" applyBorder="1"/>
    <xf numFmtId="2" fontId="0" fillId="6" borderId="12" xfId="0" applyNumberFormat="1" applyFill="1" applyBorder="1"/>
  </cellXfs>
  <cellStyles count="1">
    <cellStyle name="Normal" xfId="0" builtinId="0"/>
  </cellStyles>
  <dxfs count="8"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u val="none"/>
        <sz val="11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43" totalsRowShown="0">
  <tableColumns count="8">
    <tableColumn id="1" xr3:uid="{00000000-0010-0000-0000-000001000000}" name="Cod activitate" dataDxfId="7"/>
    <tableColumn id="2" xr3:uid="{00000000-0010-0000-0000-000002000000}" name="Denumire activitate" dataDxfId="6"/>
    <tableColumn id="3" xr3:uid="{00000000-0010-0000-0000-000003000000}" name="Denumire resursă" dataDxfId="5"/>
    <tableColumn id="4" xr3:uid="{00000000-0010-0000-0000-000004000000}" name="Unitate de măsură" dataDxfId="4"/>
    <tableColumn id="5" xr3:uid="{00000000-0010-0000-0000-000005000000}" name="Cantitate estimată necesară" dataDxfId="3"/>
    <tableColumn id="6" xr3:uid="{00000000-0010-0000-0000-000006000000}" name="Preț pe unitate" dataDxfId="2"/>
    <tableColumn id="8" xr3:uid="{00000000-0010-0000-0000-000008000000}" name="Valoare" dataDxfId="1"/>
    <tableColumn id="7" xr3:uid="{00000000-0010-0000-0000-000007000000}" name="Nume stud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16" workbookViewId="0">
      <selection activeCell="I8" sqref="I8"/>
    </sheetView>
  </sheetViews>
  <sheetFormatPr defaultColWidth="9" defaultRowHeight="14.4"/>
  <cols>
    <col min="1" max="1" width="12.5546875" bestFit="1" customWidth="1"/>
    <col min="2" max="2" width="34.6640625" bestFit="1" customWidth="1"/>
    <col min="3" max="3" width="31.88671875" bestFit="1" customWidth="1"/>
    <col min="4" max="4" width="16.5546875" bestFit="1" customWidth="1"/>
    <col min="5" max="5" width="24.5546875" bestFit="1" customWidth="1"/>
    <col min="6" max="6" width="13.5546875" bestFit="1" customWidth="1"/>
    <col min="7" max="7" width="7.44140625" bestFit="1" customWidth="1"/>
    <col min="8" max="8" width="13.109375" bestFit="1" customWidth="1"/>
  </cols>
  <sheetData>
    <row r="1" spans="1:8" ht="45" customHeight="1">
      <c r="A1" s="55" t="s">
        <v>0</v>
      </c>
      <c r="B1" s="55"/>
      <c r="C1" s="55"/>
      <c r="D1" s="55"/>
      <c r="E1" s="55"/>
      <c r="F1" s="55"/>
      <c r="G1" s="55"/>
    </row>
    <row r="3" spans="1:8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</row>
    <row r="4" spans="1:8">
      <c r="A4" s="53">
        <v>1000</v>
      </c>
      <c r="B4" s="53" t="s">
        <v>70</v>
      </c>
      <c r="C4" s="53" t="s">
        <v>71</v>
      </c>
      <c r="D4" s="53" t="s">
        <v>71</v>
      </c>
      <c r="E4" s="53" t="s">
        <v>71</v>
      </c>
      <c r="F4" s="53" t="s">
        <v>71</v>
      </c>
      <c r="G4" s="53" t="s">
        <v>71</v>
      </c>
      <c r="H4" s="53" t="s">
        <v>72</v>
      </c>
    </row>
    <row r="5" spans="1:8">
      <c r="A5" s="53">
        <v>1100</v>
      </c>
      <c r="B5" s="53" t="s">
        <v>73</v>
      </c>
      <c r="C5" s="53" t="s">
        <v>74</v>
      </c>
      <c r="D5" s="53" t="s">
        <v>75</v>
      </c>
      <c r="E5" s="53">
        <v>20</v>
      </c>
      <c r="F5" s="53">
        <v>50</v>
      </c>
      <c r="G5" s="53">
        <v>1000</v>
      </c>
      <c r="H5" s="53" t="s">
        <v>72</v>
      </c>
    </row>
    <row r="6" spans="1:8">
      <c r="A6" s="53"/>
      <c r="B6" s="53"/>
      <c r="C6" s="53" t="s">
        <v>76</v>
      </c>
      <c r="D6" s="53" t="s">
        <v>77</v>
      </c>
      <c r="E6" s="53">
        <v>1</v>
      </c>
      <c r="F6" s="53">
        <v>200</v>
      </c>
      <c r="G6" s="53">
        <v>200</v>
      </c>
      <c r="H6" s="53" t="s">
        <v>72</v>
      </c>
    </row>
    <row r="7" spans="1:8">
      <c r="A7" s="53">
        <v>1200</v>
      </c>
      <c r="B7" s="53" t="s">
        <v>78</v>
      </c>
      <c r="C7" s="53" t="s">
        <v>74</v>
      </c>
      <c r="D7" s="53" t="s">
        <v>75</v>
      </c>
      <c r="E7" s="53">
        <v>20</v>
      </c>
      <c r="F7" s="53">
        <v>50</v>
      </c>
      <c r="G7" s="53">
        <v>1000</v>
      </c>
      <c r="H7" s="53" t="s">
        <v>72</v>
      </c>
    </row>
    <row r="8" spans="1:8">
      <c r="A8" s="53">
        <v>1300</v>
      </c>
      <c r="B8" s="53" t="s">
        <v>79</v>
      </c>
      <c r="C8" s="53" t="s">
        <v>74</v>
      </c>
      <c r="D8" s="53" t="s">
        <v>75</v>
      </c>
      <c r="E8" s="53">
        <v>20</v>
      </c>
      <c r="F8" s="53">
        <v>50</v>
      </c>
      <c r="G8" s="53">
        <v>1000</v>
      </c>
      <c r="H8" s="53" t="s">
        <v>72</v>
      </c>
    </row>
    <row r="9" spans="1:8">
      <c r="A9" s="53">
        <v>1400</v>
      </c>
      <c r="B9" s="53" t="s">
        <v>80</v>
      </c>
      <c r="C9" s="53" t="s">
        <v>74</v>
      </c>
      <c r="D9" s="53" t="s">
        <v>75</v>
      </c>
      <c r="E9" s="53">
        <v>20</v>
      </c>
      <c r="F9" s="53">
        <v>50</v>
      </c>
      <c r="G9" s="53">
        <v>1000</v>
      </c>
      <c r="H9" s="53" t="s">
        <v>72</v>
      </c>
    </row>
    <row r="10" spans="1:8">
      <c r="A10" s="53">
        <v>2000</v>
      </c>
      <c r="B10" s="53" t="s">
        <v>81</v>
      </c>
      <c r="C10" s="53" t="s">
        <v>71</v>
      </c>
      <c r="D10" s="53" t="s">
        <v>71</v>
      </c>
      <c r="E10" s="53" t="s">
        <v>71</v>
      </c>
      <c r="F10" s="53" t="s">
        <v>71</v>
      </c>
      <c r="G10" s="53" t="s">
        <v>71</v>
      </c>
      <c r="H10" s="53" t="s">
        <v>82</v>
      </c>
    </row>
    <row r="11" spans="1:8">
      <c r="A11" s="53">
        <v>2100</v>
      </c>
      <c r="B11" s="53" t="s">
        <v>83</v>
      </c>
      <c r="C11" s="53" t="s">
        <v>84</v>
      </c>
      <c r="D11" s="53" t="s">
        <v>75</v>
      </c>
      <c r="E11" s="53">
        <v>15</v>
      </c>
      <c r="F11" s="53">
        <v>50</v>
      </c>
      <c r="G11" s="53">
        <v>750</v>
      </c>
      <c r="H11" s="53" t="s">
        <v>82</v>
      </c>
    </row>
    <row r="12" spans="1:8">
      <c r="A12" s="53"/>
      <c r="B12" s="53"/>
      <c r="C12" s="53" t="s">
        <v>85</v>
      </c>
      <c r="D12" s="53" t="s">
        <v>86</v>
      </c>
      <c r="E12" s="53">
        <v>1</v>
      </c>
      <c r="F12" s="53">
        <v>500</v>
      </c>
      <c r="G12" s="53">
        <v>500</v>
      </c>
      <c r="H12" s="53" t="s">
        <v>82</v>
      </c>
    </row>
    <row r="13" spans="1:8" ht="28.8">
      <c r="A13" s="53">
        <v>2200</v>
      </c>
      <c r="B13" s="53" t="s">
        <v>87</v>
      </c>
      <c r="C13" s="54" t="s">
        <v>84</v>
      </c>
      <c r="D13" s="53" t="s">
        <v>75</v>
      </c>
      <c r="E13" s="53">
        <v>15</v>
      </c>
      <c r="F13" s="53">
        <v>50</v>
      </c>
      <c r="G13" s="53">
        <v>750</v>
      </c>
      <c r="H13" s="53" t="s">
        <v>82</v>
      </c>
    </row>
    <row r="14" spans="1:8">
      <c r="A14" s="53">
        <v>2300</v>
      </c>
      <c r="B14" s="53" t="s">
        <v>88</v>
      </c>
      <c r="C14" s="53" t="s">
        <v>84</v>
      </c>
      <c r="D14" s="53" t="s">
        <v>75</v>
      </c>
      <c r="E14" s="53">
        <v>15</v>
      </c>
      <c r="F14" s="53">
        <v>50</v>
      </c>
      <c r="G14" s="53">
        <v>750</v>
      </c>
      <c r="H14" s="53" t="s">
        <v>82</v>
      </c>
    </row>
    <row r="15" spans="1:8">
      <c r="A15" s="53">
        <v>2400</v>
      </c>
      <c r="B15" s="53" t="s">
        <v>89</v>
      </c>
      <c r="C15" s="53" t="s">
        <v>84</v>
      </c>
      <c r="D15" s="53" t="s">
        <v>75</v>
      </c>
      <c r="E15" s="53">
        <v>15</v>
      </c>
      <c r="F15" s="53">
        <v>50</v>
      </c>
      <c r="G15" s="53">
        <v>750</v>
      </c>
      <c r="H15" s="53" t="s">
        <v>82</v>
      </c>
    </row>
    <row r="16" spans="1:8">
      <c r="A16" s="53">
        <v>3000</v>
      </c>
      <c r="B16" s="53" t="s">
        <v>90</v>
      </c>
      <c r="C16" s="53" t="s">
        <v>71</v>
      </c>
      <c r="D16" s="53" t="s">
        <v>71</v>
      </c>
      <c r="E16" s="53" t="s">
        <v>71</v>
      </c>
      <c r="F16" s="53" t="s">
        <v>71</v>
      </c>
      <c r="G16" s="53" t="s">
        <v>71</v>
      </c>
      <c r="H16" s="53" t="s">
        <v>91</v>
      </c>
    </row>
    <row r="17" spans="1:8">
      <c r="A17" s="53">
        <v>3100</v>
      </c>
      <c r="B17" s="53" t="s">
        <v>92</v>
      </c>
      <c r="C17" s="53" t="s">
        <v>93</v>
      </c>
      <c r="D17" s="53" t="s">
        <v>75</v>
      </c>
      <c r="E17" s="53">
        <v>30</v>
      </c>
      <c r="F17" s="53">
        <v>60</v>
      </c>
      <c r="G17" s="53">
        <v>1800</v>
      </c>
      <c r="H17" s="53" t="s">
        <v>91</v>
      </c>
    </row>
    <row r="18" spans="1:8">
      <c r="A18" s="53"/>
      <c r="B18" s="53"/>
      <c r="C18" s="53" t="s">
        <v>94</v>
      </c>
      <c r="D18" s="53" t="s">
        <v>86</v>
      </c>
      <c r="E18" s="53">
        <v>1</v>
      </c>
      <c r="F18" s="53">
        <v>4500</v>
      </c>
      <c r="G18" s="53">
        <v>4500</v>
      </c>
      <c r="H18" s="53" t="s">
        <v>91</v>
      </c>
    </row>
    <row r="19" spans="1:8">
      <c r="A19" s="53"/>
      <c r="B19" s="53"/>
      <c r="C19" s="53" t="s">
        <v>95</v>
      </c>
      <c r="D19" s="53" t="s">
        <v>86</v>
      </c>
      <c r="E19" s="53">
        <v>1</v>
      </c>
      <c r="F19" s="53">
        <v>800</v>
      </c>
      <c r="G19" s="53">
        <v>800</v>
      </c>
      <c r="H19" s="53" t="s">
        <v>91</v>
      </c>
    </row>
    <row r="20" spans="1:8">
      <c r="A20" s="53">
        <v>3200</v>
      </c>
      <c r="B20" s="53" t="s">
        <v>96</v>
      </c>
      <c r="C20" s="53" t="s">
        <v>93</v>
      </c>
      <c r="D20" s="53" t="s">
        <v>75</v>
      </c>
      <c r="E20" s="53">
        <v>40</v>
      </c>
      <c r="F20" s="53">
        <v>60</v>
      </c>
      <c r="G20" s="53">
        <v>2400</v>
      </c>
      <c r="H20" s="53" t="s">
        <v>91</v>
      </c>
    </row>
    <row r="21" spans="1:8">
      <c r="A21" s="53"/>
      <c r="B21" s="53"/>
      <c r="C21" s="53" t="s">
        <v>97</v>
      </c>
      <c r="D21" s="53" t="s">
        <v>98</v>
      </c>
      <c r="E21" s="53">
        <v>0.5</v>
      </c>
      <c r="F21" s="53">
        <v>85000</v>
      </c>
      <c r="G21" s="53">
        <v>42500</v>
      </c>
      <c r="H21" s="53" t="s">
        <v>91</v>
      </c>
    </row>
    <row r="22" spans="1:8">
      <c r="A22" s="53">
        <v>3300</v>
      </c>
      <c r="B22" s="53" t="s">
        <v>99</v>
      </c>
      <c r="C22" s="53" t="s">
        <v>93</v>
      </c>
      <c r="D22" s="53" t="s">
        <v>75</v>
      </c>
      <c r="E22" s="53">
        <v>40</v>
      </c>
      <c r="F22" s="53">
        <v>60</v>
      </c>
      <c r="G22" s="53">
        <v>2400</v>
      </c>
      <c r="H22" s="53" t="s">
        <v>91</v>
      </c>
    </row>
    <row r="23" spans="1:8">
      <c r="A23" s="53"/>
      <c r="B23" s="53"/>
      <c r="C23" s="53" t="s">
        <v>100</v>
      </c>
      <c r="D23" s="53" t="s">
        <v>98</v>
      </c>
      <c r="E23" s="53">
        <v>0.5</v>
      </c>
      <c r="F23" s="53">
        <v>85000</v>
      </c>
      <c r="G23" s="53">
        <v>42500</v>
      </c>
      <c r="H23" s="53" t="s">
        <v>91</v>
      </c>
    </row>
    <row r="24" spans="1:8">
      <c r="A24" s="53">
        <v>3400</v>
      </c>
      <c r="B24" s="53" t="s">
        <v>101</v>
      </c>
      <c r="C24" s="53" t="s">
        <v>93</v>
      </c>
      <c r="D24" s="53" t="s">
        <v>75</v>
      </c>
      <c r="E24" s="53">
        <v>10</v>
      </c>
      <c r="F24" s="53">
        <v>60</v>
      </c>
      <c r="G24" s="53">
        <v>600</v>
      </c>
      <c r="H24" s="53" t="s">
        <v>91</v>
      </c>
    </row>
    <row r="25" spans="1:8">
      <c r="A25" s="53">
        <v>4000</v>
      </c>
      <c r="B25" s="53" t="s">
        <v>102</v>
      </c>
      <c r="C25" s="53" t="s">
        <v>71</v>
      </c>
      <c r="D25" s="53" t="s">
        <v>71</v>
      </c>
      <c r="E25" s="53" t="s">
        <v>71</v>
      </c>
      <c r="F25" s="53" t="s">
        <v>71</v>
      </c>
      <c r="G25" s="53" t="s">
        <v>71</v>
      </c>
      <c r="H25" s="53" t="s">
        <v>72</v>
      </c>
    </row>
    <row r="26" spans="1:8">
      <c r="A26" s="53">
        <v>4100</v>
      </c>
      <c r="B26" s="53" t="s">
        <v>103</v>
      </c>
      <c r="C26" s="53" t="s">
        <v>104</v>
      </c>
      <c r="D26" s="53" t="s">
        <v>75</v>
      </c>
      <c r="E26" s="53">
        <v>100</v>
      </c>
      <c r="F26" s="53">
        <v>50</v>
      </c>
      <c r="G26" s="53">
        <v>5000</v>
      </c>
      <c r="H26" s="53" t="s">
        <v>72</v>
      </c>
    </row>
    <row r="27" spans="1:8">
      <c r="A27" s="53"/>
      <c r="B27" s="53"/>
      <c r="C27" s="53" t="s">
        <v>105</v>
      </c>
      <c r="D27" s="53" t="s">
        <v>86</v>
      </c>
      <c r="E27" s="53">
        <v>2</v>
      </c>
      <c r="F27" s="53">
        <v>400</v>
      </c>
      <c r="G27" s="53">
        <v>800</v>
      </c>
      <c r="H27" s="53" t="s">
        <v>72</v>
      </c>
    </row>
    <row r="28" spans="1:8">
      <c r="A28" s="53">
        <v>4200</v>
      </c>
      <c r="B28" s="53" t="s">
        <v>106</v>
      </c>
      <c r="C28" s="53" t="s">
        <v>104</v>
      </c>
      <c r="D28" s="53" t="s">
        <v>75</v>
      </c>
      <c r="E28" s="53">
        <v>40</v>
      </c>
      <c r="F28" s="53">
        <v>50</v>
      </c>
      <c r="G28" s="53">
        <v>2000</v>
      </c>
      <c r="H28" s="53" t="s">
        <v>72</v>
      </c>
    </row>
    <row r="29" spans="1:8">
      <c r="A29" s="78"/>
      <c r="B29" s="78"/>
      <c r="C29" s="78" t="s">
        <v>107</v>
      </c>
      <c r="D29" s="78" t="s">
        <v>86</v>
      </c>
      <c r="E29" s="78">
        <v>1</v>
      </c>
      <c r="F29" s="78">
        <v>1200</v>
      </c>
      <c r="G29" s="79">
        <v>1200</v>
      </c>
      <c r="H29" s="78" t="s">
        <v>72</v>
      </c>
    </row>
    <row r="30" spans="1:8">
      <c r="A30" s="78">
        <v>4300</v>
      </c>
      <c r="B30" s="78" t="s">
        <v>108</v>
      </c>
      <c r="C30" s="78" t="s">
        <v>104</v>
      </c>
      <c r="D30" s="78" t="s">
        <v>75</v>
      </c>
      <c r="E30" s="78">
        <v>20</v>
      </c>
      <c r="F30" s="78">
        <v>50</v>
      </c>
      <c r="G30" s="79">
        <v>1000</v>
      </c>
      <c r="H30" s="78" t="s">
        <v>72</v>
      </c>
    </row>
    <row r="31" spans="1:8">
      <c r="A31" s="78">
        <v>5000</v>
      </c>
      <c r="B31" s="78" t="s">
        <v>109</v>
      </c>
      <c r="C31" s="78" t="s">
        <v>71</v>
      </c>
      <c r="D31" s="78" t="s">
        <v>71</v>
      </c>
      <c r="E31" s="78" t="s">
        <v>71</v>
      </c>
      <c r="F31" s="78" t="s">
        <v>71</v>
      </c>
      <c r="G31" s="79" t="s">
        <v>71</v>
      </c>
      <c r="H31" s="78" t="s">
        <v>82</v>
      </c>
    </row>
    <row r="32" spans="1:8">
      <c r="A32" s="78">
        <v>5100</v>
      </c>
      <c r="B32" s="78" t="s">
        <v>110</v>
      </c>
      <c r="C32" s="78" t="s">
        <v>111</v>
      </c>
      <c r="D32" s="78" t="s">
        <v>75</v>
      </c>
      <c r="E32" s="78">
        <v>15</v>
      </c>
      <c r="F32" s="78">
        <v>50</v>
      </c>
      <c r="G32" s="79">
        <v>750</v>
      </c>
      <c r="H32" s="78" t="s">
        <v>82</v>
      </c>
    </row>
    <row r="33" spans="1:8">
      <c r="A33" s="78"/>
      <c r="B33" s="78"/>
      <c r="C33" s="78" t="s">
        <v>112</v>
      </c>
      <c r="D33" s="78" t="s">
        <v>86</v>
      </c>
      <c r="E33" s="78">
        <v>15</v>
      </c>
      <c r="F33" s="78">
        <v>30</v>
      </c>
      <c r="G33" s="79">
        <v>450</v>
      </c>
      <c r="H33" s="78" t="s">
        <v>82</v>
      </c>
    </row>
    <row r="34" spans="1:8">
      <c r="A34" s="78">
        <v>5200</v>
      </c>
      <c r="B34" s="78" t="s">
        <v>113</v>
      </c>
      <c r="C34" s="78" t="s">
        <v>111</v>
      </c>
      <c r="D34" s="78" t="s">
        <v>75</v>
      </c>
      <c r="E34" s="78">
        <v>15</v>
      </c>
      <c r="F34" s="78">
        <v>50</v>
      </c>
      <c r="G34" s="79">
        <v>750</v>
      </c>
      <c r="H34" s="78" t="s">
        <v>82</v>
      </c>
    </row>
    <row r="35" spans="1:8">
      <c r="A35" s="78"/>
      <c r="B35" s="78"/>
      <c r="C35" s="78" t="s">
        <v>114</v>
      </c>
      <c r="D35" s="78" t="s">
        <v>115</v>
      </c>
      <c r="E35" s="78">
        <v>1</v>
      </c>
      <c r="F35" s="78">
        <v>300</v>
      </c>
      <c r="G35" s="79">
        <v>300</v>
      </c>
      <c r="H35" s="78" t="s">
        <v>82</v>
      </c>
    </row>
    <row r="36" spans="1:8">
      <c r="A36" s="78">
        <v>5300</v>
      </c>
      <c r="B36" s="78" t="s">
        <v>116</v>
      </c>
      <c r="C36" s="78" t="s">
        <v>111</v>
      </c>
      <c r="D36" s="78" t="s">
        <v>75</v>
      </c>
      <c r="E36" s="78">
        <v>10</v>
      </c>
      <c r="F36" s="78">
        <v>50</v>
      </c>
      <c r="G36" s="79">
        <v>500</v>
      </c>
      <c r="H36" s="78" t="s">
        <v>82</v>
      </c>
    </row>
    <row r="37" spans="1:8">
      <c r="A37" s="78">
        <v>6000</v>
      </c>
      <c r="B37" s="78" t="s">
        <v>117</v>
      </c>
      <c r="C37" s="78" t="s">
        <v>71</v>
      </c>
      <c r="D37" s="78" t="s">
        <v>71</v>
      </c>
      <c r="E37" s="78" t="s">
        <v>71</v>
      </c>
      <c r="F37" s="78" t="s">
        <v>71</v>
      </c>
      <c r="G37" s="79" t="s">
        <v>71</v>
      </c>
      <c r="H37" s="78" t="s">
        <v>91</v>
      </c>
    </row>
    <row r="38" spans="1:8">
      <c r="A38" s="78">
        <v>6100</v>
      </c>
      <c r="B38" s="78" t="s">
        <v>118</v>
      </c>
      <c r="C38" s="78" t="s">
        <v>93</v>
      </c>
      <c r="D38" s="78" t="s">
        <v>75</v>
      </c>
      <c r="E38" s="78">
        <v>60</v>
      </c>
      <c r="F38" s="78">
        <v>60</v>
      </c>
      <c r="G38" s="79">
        <v>3600</v>
      </c>
      <c r="H38" s="78" t="s">
        <v>91</v>
      </c>
    </row>
    <row r="39" spans="1:8">
      <c r="A39" s="78">
        <v>6200</v>
      </c>
      <c r="B39" s="78" t="s">
        <v>119</v>
      </c>
      <c r="C39" s="78" t="s">
        <v>93</v>
      </c>
      <c r="D39" s="78" t="s">
        <v>75</v>
      </c>
      <c r="E39" s="78">
        <v>20</v>
      </c>
      <c r="F39" s="78">
        <v>60</v>
      </c>
      <c r="G39" s="79">
        <v>1200</v>
      </c>
      <c r="H39" s="78" t="s">
        <v>91</v>
      </c>
    </row>
    <row r="40" spans="1:8">
      <c r="A40" s="78"/>
      <c r="B40" s="78"/>
      <c r="C40" s="78" t="s">
        <v>120</v>
      </c>
      <c r="D40" s="78" t="s">
        <v>121</v>
      </c>
      <c r="E40" s="78">
        <v>1</v>
      </c>
      <c r="F40" s="78">
        <v>5000</v>
      </c>
      <c r="G40" s="79">
        <v>5000</v>
      </c>
      <c r="H40" s="78" t="s">
        <v>91</v>
      </c>
    </row>
    <row r="41" spans="1:8">
      <c r="A41" s="78"/>
      <c r="B41" s="78"/>
      <c r="C41" s="78" t="s">
        <v>122</v>
      </c>
      <c r="D41" s="78" t="s">
        <v>115</v>
      </c>
      <c r="E41" s="78">
        <v>1</v>
      </c>
      <c r="F41" s="78">
        <v>1500</v>
      </c>
      <c r="G41" s="79">
        <v>1500</v>
      </c>
      <c r="H41" s="78" t="s">
        <v>91</v>
      </c>
    </row>
    <row r="42" spans="1:8">
      <c r="A42" s="78">
        <v>6300</v>
      </c>
      <c r="B42" s="78" t="s">
        <v>123</v>
      </c>
      <c r="C42" s="78" t="s">
        <v>93</v>
      </c>
      <c r="D42" s="78" t="s">
        <v>75</v>
      </c>
      <c r="E42" s="78">
        <v>10</v>
      </c>
      <c r="F42" s="78">
        <v>60</v>
      </c>
      <c r="G42" s="79">
        <v>600</v>
      </c>
      <c r="H42" s="78" t="s">
        <v>91</v>
      </c>
    </row>
    <row r="43" spans="1:8">
      <c r="A43" s="78">
        <v>6400</v>
      </c>
      <c r="B43" s="78" t="s">
        <v>124</v>
      </c>
      <c r="C43" s="78" t="s">
        <v>93</v>
      </c>
      <c r="D43" s="78" t="s">
        <v>75</v>
      </c>
      <c r="E43" s="78">
        <v>10</v>
      </c>
      <c r="F43" s="78">
        <v>60</v>
      </c>
      <c r="G43" s="79">
        <v>600</v>
      </c>
      <c r="H43" s="78" t="s">
        <v>91</v>
      </c>
    </row>
  </sheetData>
  <mergeCells count="1">
    <mergeCell ref="A1:G1"/>
  </mergeCell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xSplit="1" ySplit="6" topLeftCell="B7" activePane="bottomRight" state="frozen"/>
      <selection pane="topRight"/>
      <selection pane="bottomLeft"/>
      <selection pane="bottomRight" activeCell="F43" sqref="F43"/>
    </sheetView>
  </sheetViews>
  <sheetFormatPr defaultColWidth="29.88671875" defaultRowHeight="14.4"/>
  <cols>
    <col min="1" max="1" width="59.44140625" bestFit="1" customWidth="1"/>
    <col min="2" max="2" width="59.77734375" bestFit="1" customWidth="1"/>
    <col min="3" max="3" width="15.88671875" bestFit="1" customWidth="1"/>
    <col min="4" max="4" width="13.109375" bestFit="1" customWidth="1"/>
    <col min="5" max="5" width="8.5546875" bestFit="1" customWidth="1"/>
    <col min="7" max="7" width="96.6640625" bestFit="1" customWidth="1"/>
  </cols>
  <sheetData>
    <row r="1" spans="1:7" ht="18">
      <c r="A1" s="56" t="s">
        <v>11</v>
      </c>
      <c r="B1" s="56"/>
      <c r="C1" s="56"/>
      <c r="D1" s="56"/>
      <c r="E1" s="56"/>
      <c r="F1" s="1"/>
      <c r="G1" s="1"/>
    </row>
    <row r="2" spans="1:7" ht="18">
      <c r="A2" s="2"/>
      <c r="B2" s="2"/>
      <c r="C2" s="2"/>
      <c r="D2" s="2"/>
      <c r="E2" s="2"/>
      <c r="F2" s="2"/>
      <c r="G2" s="2"/>
    </row>
    <row r="3" spans="1:7" ht="15" thickBot="1">
      <c r="A3" s="20" t="s">
        <v>12</v>
      </c>
      <c r="B3" s="65" t="s">
        <v>13</v>
      </c>
      <c r="C3" s="66"/>
      <c r="D3" s="66"/>
      <c r="E3" s="67"/>
      <c r="G3" s="21" t="s">
        <v>14</v>
      </c>
    </row>
    <row r="4" spans="1:7" ht="15" thickBot="1">
      <c r="A4" s="22" t="s">
        <v>125</v>
      </c>
      <c r="B4" s="59" t="s">
        <v>15</v>
      </c>
      <c r="C4" s="62" t="s">
        <v>16</v>
      </c>
      <c r="D4" s="62" t="s">
        <v>17</v>
      </c>
      <c r="E4" s="62" t="s">
        <v>18</v>
      </c>
      <c r="G4" s="21" t="s">
        <v>19</v>
      </c>
    </row>
    <row r="5" spans="1:7" ht="15" thickBot="1">
      <c r="A5" s="20" t="s">
        <v>20</v>
      </c>
      <c r="B5" s="60"/>
      <c r="C5" s="63"/>
      <c r="D5" s="63"/>
      <c r="E5" s="63"/>
      <c r="G5" s="21"/>
    </row>
    <row r="6" spans="1:7" ht="15" customHeight="1">
      <c r="A6" s="80" t="s">
        <v>126</v>
      </c>
      <c r="B6" s="61"/>
      <c r="C6" s="64"/>
      <c r="D6" s="64"/>
      <c r="E6" s="64"/>
      <c r="G6" s="21" t="s">
        <v>21</v>
      </c>
    </row>
    <row r="7" spans="1:7" ht="15" customHeight="1">
      <c r="B7" s="23"/>
      <c r="C7" s="23"/>
      <c r="D7" s="23"/>
      <c r="E7" s="23"/>
    </row>
    <row r="8" spans="1:7" ht="30" customHeight="1" thickBot="1">
      <c r="A8" s="24" t="s">
        <v>22</v>
      </c>
      <c r="B8" s="25" t="s">
        <v>23</v>
      </c>
      <c r="E8" s="26"/>
    </row>
    <row r="9" spans="1:7">
      <c r="A9" s="27" t="s">
        <v>127</v>
      </c>
      <c r="B9" s="28" t="s">
        <v>75</v>
      </c>
      <c r="C9" s="29">
        <v>220</v>
      </c>
      <c r="D9" s="29">
        <v>60</v>
      </c>
      <c r="E9" s="29">
        <v>13200</v>
      </c>
    </row>
    <row r="10" spans="1:7">
      <c r="A10" s="30" t="s">
        <v>128</v>
      </c>
      <c r="B10" s="31" t="s">
        <v>75</v>
      </c>
      <c r="C10" s="32">
        <v>240</v>
      </c>
      <c r="D10" s="32">
        <v>50</v>
      </c>
      <c r="E10" s="32">
        <v>12000</v>
      </c>
    </row>
    <row r="11" spans="1:7" ht="15" thickBot="1">
      <c r="A11" s="30" t="s">
        <v>129</v>
      </c>
      <c r="B11" s="31" t="s">
        <v>75</v>
      </c>
      <c r="C11" s="32">
        <v>100</v>
      </c>
      <c r="D11" s="32">
        <v>50</v>
      </c>
      <c r="E11" s="32">
        <v>5000</v>
      </c>
    </row>
    <row r="12" spans="1:7" ht="15" thickBot="1">
      <c r="A12" s="33" t="s">
        <v>24</v>
      </c>
      <c r="B12" s="68"/>
      <c r="C12" s="57"/>
      <c r="D12" s="58"/>
      <c r="E12" s="15">
        <f>SUM(E9:E11)</f>
        <v>30200</v>
      </c>
    </row>
    <row r="13" spans="1:7">
      <c r="A13" s="34"/>
      <c r="B13" s="35"/>
      <c r="C13" s="36"/>
      <c r="D13" s="36"/>
      <c r="E13" s="36"/>
    </row>
    <row r="14" spans="1:7" ht="15" thickBot="1">
      <c r="A14" s="37" t="s">
        <v>25</v>
      </c>
      <c r="B14" s="38" t="s">
        <v>26</v>
      </c>
      <c r="C14" s="39"/>
      <c r="D14" s="39"/>
      <c r="E14" s="39"/>
    </row>
    <row r="15" spans="1:7" ht="15" thickBot="1">
      <c r="A15" s="40" t="s">
        <v>130</v>
      </c>
      <c r="B15" s="41"/>
      <c r="C15" s="42"/>
      <c r="D15" s="42"/>
      <c r="E15" s="42">
        <f t="shared" ref="E15" si="0">C15*D15</f>
        <v>0</v>
      </c>
    </row>
    <row r="16" spans="1:7" ht="15" thickBot="1">
      <c r="A16" s="33" t="s">
        <v>27</v>
      </c>
      <c r="B16" s="43"/>
      <c r="C16" s="17"/>
      <c r="D16" s="44"/>
      <c r="E16" s="15">
        <f>SUM(E15:E15)</f>
        <v>0</v>
      </c>
    </row>
    <row r="18" spans="1:5">
      <c r="A18" s="45" t="s">
        <v>28</v>
      </c>
      <c r="B18" s="46" t="s">
        <v>29</v>
      </c>
    </row>
    <row r="19" spans="1:5" ht="15" thickBot="1">
      <c r="A19" s="30" t="s">
        <v>9</v>
      </c>
      <c r="B19" s="31"/>
      <c r="C19" s="32"/>
      <c r="D19" s="32"/>
      <c r="E19" s="32">
        <f t="shared" ref="E19" si="1">C19*D19</f>
        <v>0</v>
      </c>
    </row>
    <row r="20" spans="1:5">
      <c r="A20" s="48" t="s">
        <v>30</v>
      </c>
      <c r="B20" s="43"/>
      <c r="C20" s="17"/>
      <c r="D20" s="44"/>
      <c r="E20" s="15">
        <f>SUM(E19:E19)</f>
        <v>0</v>
      </c>
    </row>
    <row r="22" spans="1:5">
      <c r="A22" s="45" t="s">
        <v>31</v>
      </c>
      <c r="B22" s="46" t="s">
        <v>32</v>
      </c>
    </row>
    <row r="23" spans="1:5" ht="15" thickBot="1">
      <c r="A23" s="30" t="s">
        <v>9</v>
      </c>
      <c r="B23" s="31"/>
      <c r="C23" s="32"/>
      <c r="D23" s="32"/>
      <c r="E23" s="32">
        <f t="shared" ref="E23" si="2">C23*D23</f>
        <v>0</v>
      </c>
    </row>
    <row r="24" spans="1:5">
      <c r="A24" s="48" t="s">
        <v>33</v>
      </c>
      <c r="B24" s="43"/>
      <c r="C24" s="17"/>
      <c r="D24" s="44"/>
      <c r="E24" s="15">
        <f>SUM(E23:E23)</f>
        <v>0</v>
      </c>
    </row>
    <row r="26" spans="1:5">
      <c r="A26" s="45" t="s">
        <v>34</v>
      </c>
      <c r="B26" s="46" t="s">
        <v>32</v>
      </c>
    </row>
    <row r="27" spans="1:5" ht="15" thickBot="1">
      <c r="A27" s="30" t="s">
        <v>136</v>
      </c>
      <c r="B27" s="31" t="s">
        <v>86</v>
      </c>
      <c r="C27" s="32">
        <v>2</v>
      </c>
      <c r="D27" s="32">
        <v>400</v>
      </c>
      <c r="E27" s="32">
        <v>800</v>
      </c>
    </row>
    <row r="28" spans="1:5" ht="15" thickBot="1">
      <c r="A28" s="48" t="s">
        <v>35</v>
      </c>
      <c r="B28" s="43"/>
      <c r="C28" s="17"/>
      <c r="D28" s="44"/>
      <c r="E28" s="15">
        <f>SUM(E27:E27)</f>
        <v>800</v>
      </c>
    </row>
    <row r="29" spans="1:5">
      <c r="A29" s="49"/>
      <c r="E29" s="50"/>
    </row>
    <row r="30" spans="1:5" ht="30" customHeight="1" thickBot="1">
      <c r="A30" s="45" t="s">
        <v>36</v>
      </c>
      <c r="B30" s="46" t="s">
        <v>37</v>
      </c>
    </row>
    <row r="31" spans="1:5">
      <c r="A31" s="47" t="s">
        <v>137</v>
      </c>
      <c r="B31" s="28" t="s">
        <v>138</v>
      </c>
      <c r="C31" s="29">
        <v>1</v>
      </c>
      <c r="D31" s="29">
        <v>85000</v>
      </c>
      <c r="E31" s="29">
        <v>85000</v>
      </c>
    </row>
    <row r="32" spans="1:5">
      <c r="A32" s="30" t="s">
        <v>139</v>
      </c>
      <c r="B32" s="31" t="s">
        <v>86</v>
      </c>
      <c r="C32" s="32">
        <v>1</v>
      </c>
      <c r="D32" s="32">
        <v>4500</v>
      </c>
      <c r="E32" s="32">
        <v>4500</v>
      </c>
    </row>
    <row r="33" spans="1:5">
      <c r="A33" s="30" t="s">
        <v>140</v>
      </c>
      <c r="B33" s="31" t="s">
        <v>86</v>
      </c>
      <c r="C33" s="32">
        <v>1</v>
      </c>
      <c r="D33" s="32">
        <v>800</v>
      </c>
      <c r="E33" s="32">
        <v>800</v>
      </c>
    </row>
    <row r="34" spans="1:5" ht="15" thickBot="1">
      <c r="A34" s="30" t="s">
        <v>107</v>
      </c>
      <c r="B34" s="31" t="s">
        <v>86</v>
      </c>
      <c r="C34" s="32">
        <v>1</v>
      </c>
      <c r="D34" s="32">
        <v>1200</v>
      </c>
      <c r="E34" s="32">
        <v>1200</v>
      </c>
    </row>
    <row r="35" spans="1:5" ht="15" thickBot="1">
      <c r="A35" s="48" t="s">
        <v>38</v>
      </c>
      <c r="B35" s="43"/>
      <c r="C35" s="17"/>
      <c r="D35" s="44"/>
      <c r="E35" s="15">
        <f>SUM(E31:E34)</f>
        <v>91500</v>
      </c>
    </row>
    <row r="36" spans="1:5">
      <c r="A36" s="51"/>
      <c r="E36" s="50"/>
    </row>
    <row r="37" spans="1:5" ht="15" thickBot="1">
      <c r="A37" s="45" t="s">
        <v>39</v>
      </c>
      <c r="B37" s="46" t="s">
        <v>40</v>
      </c>
    </row>
    <row r="38" spans="1:5">
      <c r="A38" s="47" t="s">
        <v>76</v>
      </c>
      <c r="B38" s="28" t="s">
        <v>77</v>
      </c>
      <c r="C38" s="29">
        <v>1</v>
      </c>
      <c r="D38" s="29">
        <v>200</v>
      </c>
      <c r="E38" s="29">
        <v>200</v>
      </c>
    </row>
    <row r="39" spans="1:5">
      <c r="A39" s="30" t="s">
        <v>131</v>
      </c>
      <c r="B39" s="31" t="s">
        <v>86</v>
      </c>
      <c r="C39" s="32">
        <v>15</v>
      </c>
      <c r="D39" s="32">
        <v>30</v>
      </c>
      <c r="E39" s="32">
        <v>450</v>
      </c>
    </row>
    <row r="40" spans="1:5" ht="15" thickBot="1">
      <c r="A40" s="30" t="s">
        <v>132</v>
      </c>
      <c r="B40" s="31" t="s">
        <v>115</v>
      </c>
      <c r="C40" s="32">
        <v>1</v>
      </c>
      <c r="D40" s="32">
        <v>300</v>
      </c>
      <c r="E40" s="32">
        <v>300</v>
      </c>
    </row>
    <row r="41" spans="1:5" ht="15" thickBot="1">
      <c r="A41" s="48" t="s">
        <v>41</v>
      </c>
      <c r="B41" s="43"/>
      <c r="C41" s="17"/>
      <c r="D41" s="44"/>
      <c r="E41" s="15">
        <f>SUM(E38:E40)</f>
        <v>950</v>
      </c>
    </row>
    <row r="43" spans="1:5">
      <c r="A43" s="24" t="s">
        <v>42</v>
      </c>
      <c r="B43" s="25" t="s">
        <v>43</v>
      </c>
      <c r="E43" s="26"/>
    </row>
    <row r="44" spans="1:5" ht="15" thickBot="1">
      <c r="A44" s="30" t="s">
        <v>10</v>
      </c>
      <c r="B44" s="31"/>
      <c r="C44" s="32"/>
      <c r="D44" s="32"/>
      <c r="E44" s="32">
        <f t="shared" ref="E44" si="3">C44*D44</f>
        <v>0</v>
      </c>
    </row>
    <row r="45" spans="1:5">
      <c r="A45" s="33" t="s">
        <v>44</v>
      </c>
      <c r="B45" s="68"/>
      <c r="C45" s="57"/>
      <c r="D45" s="58"/>
      <c r="E45" s="15">
        <f>SUM(E44:E44)</f>
        <v>0</v>
      </c>
    </row>
    <row r="47" spans="1:5" ht="15" thickBot="1">
      <c r="A47" s="45" t="s">
        <v>45</v>
      </c>
      <c r="B47" s="25" t="s">
        <v>46</v>
      </c>
      <c r="E47" s="26"/>
    </row>
    <row r="48" spans="1:5" ht="15" thickBot="1">
      <c r="A48" s="27" t="s">
        <v>85</v>
      </c>
      <c r="B48" s="28" t="s">
        <v>86</v>
      </c>
      <c r="C48" s="29">
        <v>1</v>
      </c>
      <c r="D48" s="29">
        <v>500</v>
      </c>
      <c r="E48" s="29">
        <v>500</v>
      </c>
    </row>
    <row r="49" spans="1:5" ht="15" thickBot="1">
      <c r="A49" s="52" t="s">
        <v>47</v>
      </c>
      <c r="B49" s="16"/>
      <c r="C49" s="57"/>
      <c r="D49" s="58"/>
      <c r="E49" s="15">
        <f>SUM(E48:E48)</f>
        <v>500</v>
      </c>
    </row>
    <row r="51" spans="1:5" ht="15" thickBot="1">
      <c r="A51" s="45" t="s">
        <v>48</v>
      </c>
      <c r="B51" s="25" t="s">
        <v>49</v>
      </c>
      <c r="E51" s="26"/>
    </row>
    <row r="52" spans="1:5">
      <c r="A52" s="27" t="s">
        <v>133</v>
      </c>
      <c r="B52" s="28" t="s">
        <v>134</v>
      </c>
      <c r="C52" s="29">
        <v>1</v>
      </c>
      <c r="D52" s="29">
        <v>5000</v>
      </c>
      <c r="E52" s="29">
        <v>5000</v>
      </c>
    </row>
    <row r="53" spans="1:5" ht="15" thickBot="1">
      <c r="A53" s="30" t="s">
        <v>135</v>
      </c>
      <c r="B53" s="31" t="s">
        <v>115</v>
      </c>
      <c r="C53" s="32">
        <v>1</v>
      </c>
      <c r="D53" s="32">
        <v>1500</v>
      </c>
      <c r="E53" s="32">
        <v>1500</v>
      </c>
    </row>
    <row r="54" spans="1:5" ht="15" thickBot="1">
      <c r="A54" s="52" t="s">
        <v>50</v>
      </c>
      <c r="B54" s="16"/>
      <c r="C54" s="57"/>
      <c r="D54" s="58"/>
      <c r="E54" s="15">
        <f>SUM(E52:E53)</f>
        <v>6500</v>
      </c>
    </row>
    <row r="56" spans="1:5">
      <c r="A56" s="45" t="s">
        <v>51</v>
      </c>
      <c r="B56" s="25" t="s">
        <v>52</v>
      </c>
      <c r="E56" s="26"/>
    </row>
    <row r="57" spans="1:5" ht="15" thickBot="1">
      <c r="A57" s="30" t="s">
        <v>9</v>
      </c>
      <c r="B57" s="31"/>
      <c r="C57" s="32"/>
      <c r="D57" s="32"/>
      <c r="E57" s="32">
        <f t="shared" ref="E57" si="4">C57*D57</f>
        <v>0</v>
      </c>
    </row>
    <row r="58" spans="1:5">
      <c r="A58" s="52" t="s">
        <v>53</v>
      </c>
      <c r="B58" s="16"/>
      <c r="C58" s="57"/>
      <c r="D58" s="58"/>
      <c r="E58" s="15">
        <f>SUM(E57:E57)</f>
        <v>0</v>
      </c>
    </row>
    <row r="60" spans="1:5">
      <c r="A60" s="45" t="s">
        <v>54</v>
      </c>
      <c r="B60" s="25" t="s">
        <v>55</v>
      </c>
      <c r="E60" s="26"/>
    </row>
    <row r="61" spans="1:5" ht="15" thickBot="1">
      <c r="A61" s="30" t="s">
        <v>9</v>
      </c>
      <c r="B61" s="31"/>
      <c r="C61" s="32"/>
      <c r="D61" s="32"/>
      <c r="E61" s="32">
        <f t="shared" ref="E61" si="5">C61*D61</f>
        <v>0</v>
      </c>
    </row>
    <row r="62" spans="1:5">
      <c r="A62" s="52" t="s">
        <v>56</v>
      </c>
      <c r="B62" s="16"/>
      <c r="C62" s="57"/>
      <c r="D62" s="58"/>
      <c r="E62" s="15">
        <f>SUM(E61:E61)</f>
        <v>0</v>
      </c>
    </row>
    <row r="64" spans="1:5">
      <c r="A64" s="45" t="s">
        <v>57</v>
      </c>
      <c r="B64" s="25"/>
      <c r="E64" s="26"/>
    </row>
    <row r="65" spans="1:5" ht="15" thickBot="1">
      <c r="A65" s="30" t="s">
        <v>9</v>
      </c>
      <c r="B65" s="31"/>
      <c r="C65" s="32"/>
      <c r="D65" s="32"/>
      <c r="E65" s="32">
        <f t="shared" ref="E65" si="6">C65*D65</f>
        <v>0</v>
      </c>
    </row>
    <row r="66" spans="1:5">
      <c r="A66" s="52" t="s">
        <v>58</v>
      </c>
      <c r="B66" s="16"/>
      <c r="C66" s="57"/>
      <c r="D66" s="58"/>
      <c r="E66" s="15">
        <f>SUM(E65:E65)</f>
        <v>0</v>
      </c>
    </row>
  </sheetData>
  <mergeCells count="13">
    <mergeCell ref="A1:E1"/>
    <mergeCell ref="C58:D58"/>
    <mergeCell ref="C62:D62"/>
    <mergeCell ref="C66:D66"/>
    <mergeCell ref="B4:B6"/>
    <mergeCell ref="C4:C6"/>
    <mergeCell ref="D4:D6"/>
    <mergeCell ref="B3:E3"/>
    <mergeCell ref="B12:D12"/>
    <mergeCell ref="B45:D45"/>
    <mergeCell ref="C49:D49"/>
    <mergeCell ref="C54:D54"/>
    <mergeCell ref="E4:E6"/>
  </mergeCells>
  <dataValidations count="13">
    <dataValidation type="list" errorStyle="information" allowBlank="1" showInputMessage="1" sqref="B31:B34" xr:uid="{00000000-0002-0000-0100-000000000000}">
      <formula1>"bucăți, licență pe produs, licență pe an"</formula1>
    </dataValidation>
    <dataValidation type="list" allowBlank="1" showInputMessage="1" showErrorMessage="1" sqref="B13" xr:uid="{00000000-0002-0000-0100-000001000000}">
      <formula1>"luni, zile, ore, contravaloare serviciu"</formula1>
    </dataValidation>
    <dataValidation type="list" allowBlank="1" showInputMessage="1" showErrorMessage="1" sqref="B45" xr:uid="{00000000-0002-0000-0100-000002000000}">
      <formula1>$K$3:$K$5</formula1>
    </dataValidation>
    <dataValidation type="list" errorStyle="information" allowBlank="1" showInputMessage="1" sqref="B38:B40" xr:uid="{00000000-0002-0000-0100-000003000000}">
      <formula1>"bucăți, kilograme, litri, metri"</formula1>
    </dataValidation>
    <dataValidation type="list" allowBlank="1" showInputMessage="1" showErrorMessage="1" sqref="A6:A7" xr:uid="{00000000-0002-0000-0100-000004000000}">
      <formula1>"RON, EUR"</formula1>
    </dataValidation>
    <dataValidation type="list" errorStyle="information" allowBlank="1" showInputMessage="1" sqref="B23 B27" xr:uid="{00000000-0002-0000-0100-000007000000}">
      <formula1>"bucăți"</formula1>
    </dataValidation>
    <dataValidation type="list" allowBlank="1" showInputMessage="1" sqref="B52:B53" xr:uid="{00000000-0002-0000-0100-000008000000}">
      <formula1>"minute, bucăți"</formula1>
    </dataValidation>
    <dataValidation type="list" allowBlank="1" showInputMessage="1" sqref="B15" xr:uid="{00000000-0002-0000-0100-000009000000}">
      <formula1>"luni, zile, ore, contravaloare serviciu"</formula1>
    </dataValidation>
    <dataValidation type="list" errorStyle="information" allowBlank="1" showInputMessage="1" sqref="B9:B11" xr:uid="{00000000-0002-0000-0100-000006000000}">
      <formula1>"luni, zile, ore"</formula1>
    </dataValidation>
    <dataValidation type="list" allowBlank="1" showInputMessage="1" sqref="B48" xr:uid="{00000000-0002-0000-0100-00000A000000}">
      <formula1>"abonament/lună, abonament/an, an, bucăți"</formula1>
    </dataValidation>
    <dataValidation type="list" allowBlank="1" showInputMessage="1" sqref="B57" xr:uid="{00000000-0002-0000-0100-00000B000000}">
      <formula1>"l, bilete, nopți cazare"</formula1>
    </dataValidation>
    <dataValidation type="list" allowBlank="1" showInputMessage="1" sqref="B61" xr:uid="{00000000-0002-0000-0100-00000C000000}">
      <formula1>"mc, kw/h, abonament/lună"</formula1>
    </dataValidation>
    <dataValidation type="list" allowBlank="1" showInputMessage="1" sqref="B44" xr:uid="{00000000-0002-0000-0100-000005000000}">
      <formula1>"mp/lună, mp/an, an, bucată/zi, bucată/an"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abSelected="1" workbookViewId="0">
      <selection activeCell="D31" sqref="D31"/>
    </sheetView>
  </sheetViews>
  <sheetFormatPr defaultColWidth="9" defaultRowHeight="14.4"/>
  <cols>
    <col min="1" max="1" width="51.33203125" customWidth="1"/>
    <col min="2" max="2" width="12.44140625" customWidth="1"/>
    <col min="3" max="3" width="16.109375" customWidth="1"/>
    <col min="4" max="4" width="16" customWidth="1"/>
  </cols>
  <sheetData>
    <row r="1" spans="1:7" ht="18">
      <c r="A1" s="56" t="s">
        <v>59</v>
      </c>
      <c r="B1" s="56"/>
      <c r="C1" s="56"/>
      <c r="D1" s="56"/>
      <c r="E1" s="1"/>
      <c r="F1" s="1"/>
      <c r="G1" s="1"/>
    </row>
    <row r="2" spans="1:7" ht="18">
      <c r="A2" s="2"/>
      <c r="B2" s="2"/>
      <c r="C2" s="2"/>
      <c r="D2" s="2"/>
      <c r="E2" s="2"/>
      <c r="F2" s="2"/>
      <c r="G2" s="2"/>
    </row>
    <row r="3" spans="1:7">
      <c r="A3" s="3" t="s">
        <v>12</v>
      </c>
      <c r="B3" s="71" t="s">
        <v>18</v>
      </c>
      <c r="C3" s="69" t="s">
        <v>60</v>
      </c>
      <c r="D3" s="70"/>
    </row>
    <row r="4" spans="1:7">
      <c r="A4" s="4"/>
      <c r="B4" s="72"/>
      <c r="C4" s="74" t="s">
        <v>61</v>
      </c>
      <c r="D4" s="76" t="s">
        <v>62</v>
      </c>
    </row>
    <row r="5" spans="1:7">
      <c r="A5" s="5" t="s">
        <v>20</v>
      </c>
      <c r="B5" s="72"/>
      <c r="C5" s="74"/>
      <c r="D5" s="76"/>
    </row>
    <row r="6" spans="1:7">
      <c r="A6" s="6"/>
      <c r="B6" s="73"/>
      <c r="C6" s="75"/>
      <c r="D6" s="77"/>
    </row>
    <row r="7" spans="1:7" ht="15" thickBot="1">
      <c r="A7" s="7" t="s">
        <v>63</v>
      </c>
      <c r="B7" s="8"/>
      <c r="C7" s="8"/>
      <c r="D7" s="8"/>
    </row>
    <row r="8" spans="1:7">
      <c r="A8" s="9" t="str">
        <f>'anexa2_2 Buget_detaliat'!A8</f>
        <v>Cheltuieli cu personalul</v>
      </c>
      <c r="B8" s="10">
        <f>'anexa2_2 Buget_detaliat'!E12</f>
        <v>30200</v>
      </c>
      <c r="C8" s="9"/>
      <c r="D8" s="10">
        <v>30200</v>
      </c>
    </row>
    <row r="9" spans="1:7">
      <c r="A9" s="11" t="str">
        <f>'anexa2_2 Buget_detaliat'!A14</f>
        <v>Cheltuieli cu consultanță/servicii</v>
      </c>
      <c r="B9" s="12">
        <f>'anexa2_2 Buget_detaliat'!E16</f>
        <v>0</v>
      </c>
      <c r="C9" s="11"/>
      <c r="D9" s="12">
        <v>0</v>
      </c>
    </row>
    <row r="10" spans="1:7">
      <c r="A10" s="11" t="str">
        <f>'anexa2_2 Buget_detaliat'!A37</f>
        <v>Cheltuieli materiale (materiale consumabile)</v>
      </c>
      <c r="B10" s="12">
        <f>'anexa2_2 Buget_detaliat'!E41</f>
        <v>950</v>
      </c>
      <c r="C10" s="11"/>
      <c r="D10" s="12">
        <v>950</v>
      </c>
    </row>
    <row r="11" spans="1:7">
      <c r="A11" s="11" t="s">
        <v>42</v>
      </c>
      <c r="B11" s="12">
        <f>'anexa2_2 Buget_detaliat'!E45</f>
        <v>0</v>
      </c>
      <c r="C11" s="11"/>
      <c r="D11" s="12">
        <v>0</v>
      </c>
    </row>
    <row r="12" spans="1:7">
      <c r="A12" s="11" t="str">
        <f>'anexa2_2 Buget_detaliat'!A47</f>
        <v>Cheltuieli cu resursele informaționale</v>
      </c>
      <c r="B12" s="12">
        <f>'anexa2_2 Buget_detaliat'!E49</f>
        <v>500</v>
      </c>
      <c r="C12" s="11"/>
      <c r="D12" s="12">
        <v>500</v>
      </c>
    </row>
    <row r="13" spans="1:7">
      <c r="A13" s="11" t="str">
        <f>'anexa2_2 Buget_detaliat'!A51</f>
        <v>Cheltuieli promoționale</v>
      </c>
      <c r="B13" s="12">
        <f>'anexa2_2 Buget_detaliat'!E54</f>
        <v>6500</v>
      </c>
      <c r="C13" s="11"/>
      <c r="D13" s="12">
        <v>6500</v>
      </c>
    </row>
    <row r="14" spans="1:7">
      <c r="A14" s="11" t="str">
        <f>'anexa2_2 Buget_detaliat'!A56</f>
        <v>Cheltuieli cu mobilitățile și transportul</v>
      </c>
      <c r="B14" s="12">
        <f>'anexa2_2 Buget_detaliat'!E58</f>
        <v>0</v>
      </c>
      <c r="C14" s="11"/>
      <c r="D14" s="12">
        <v>0</v>
      </c>
    </row>
    <row r="15" spans="1:7">
      <c r="A15" s="11" t="str">
        <f>'anexa2_2 Buget_detaliat'!A60</f>
        <v>Cheltuieli curente</v>
      </c>
      <c r="B15" s="12">
        <f>'anexa2_2 Buget_detaliat'!E62</f>
        <v>0</v>
      </c>
      <c r="C15" s="11"/>
      <c r="D15" s="12">
        <v>0</v>
      </c>
    </row>
    <row r="16" spans="1:7">
      <c r="A16" s="11" t="str">
        <f>'anexa2_2 Buget_detaliat'!A64</f>
        <v>Alte cheltuieli</v>
      </c>
      <c r="B16" s="12">
        <f>'anexa2_2 Buget_detaliat'!E66</f>
        <v>0</v>
      </c>
      <c r="C16" s="11"/>
      <c r="D16" s="12">
        <v>0</v>
      </c>
    </row>
    <row r="17" spans="1:4">
      <c r="A17" s="11" t="s">
        <v>64</v>
      </c>
      <c r="B17" s="11">
        <v>0</v>
      </c>
      <c r="C17" s="11"/>
      <c r="D17" s="12">
        <v>0</v>
      </c>
    </row>
    <row r="18" spans="1:4" ht="15" thickBot="1">
      <c r="A18" s="13" t="s">
        <v>65</v>
      </c>
      <c r="B18" s="13">
        <v>0</v>
      </c>
      <c r="C18" s="13"/>
      <c r="D18" s="81">
        <v>0</v>
      </c>
    </row>
    <row r="19" spans="1:4" ht="15" thickBot="1">
      <c r="A19" s="14" t="s">
        <v>66</v>
      </c>
      <c r="B19" s="15">
        <f>SUM(B8:B18)</f>
        <v>38150</v>
      </c>
      <c r="C19" s="15">
        <f>SUM(C8:C18)</f>
        <v>0</v>
      </c>
      <c r="D19" s="15">
        <f t="shared" ref="D19" si="0">SUM(D8:D18)</f>
        <v>38150</v>
      </c>
    </row>
    <row r="20" spans="1:4" ht="15" thickBot="1">
      <c r="A20" s="16" t="s">
        <v>67</v>
      </c>
      <c r="B20" s="17"/>
      <c r="C20" s="17"/>
      <c r="D20" s="17"/>
    </row>
    <row r="21" spans="1:4">
      <c r="A21" s="9" t="str">
        <f>'anexa2_2 Buget_detaliat'!A18</f>
        <v>Cheltuieli cu investițiile în spații (amenajări spații, clădiri etc.)</v>
      </c>
      <c r="B21" s="10">
        <f>'anexa2_2 Buget_detaliat'!E20</f>
        <v>0</v>
      </c>
      <c r="C21" s="9"/>
      <c r="D21" s="10">
        <v>0</v>
      </c>
    </row>
    <row r="22" spans="1:4">
      <c r="A22" s="11" t="str">
        <f>'anexa2_2 Buget_detaliat'!A22</f>
        <v>Cheltuieli cu investițiile în mobilier</v>
      </c>
      <c r="B22" s="12">
        <f>'anexa2_2 Buget_detaliat'!E24</f>
        <v>0</v>
      </c>
      <c r="C22" s="11"/>
      <c r="D22" s="12">
        <v>0</v>
      </c>
    </row>
    <row r="23" spans="1:4">
      <c r="A23" s="11" t="str">
        <f>'anexa2_2 Buget_detaliat'!A26</f>
        <v>Cheltuieli cu investițiile în echipamente</v>
      </c>
      <c r="B23" s="12">
        <f>'anexa2_2 Buget_detaliat'!E28</f>
        <v>800</v>
      </c>
      <c r="C23" s="11"/>
      <c r="D23" s="12">
        <v>800</v>
      </c>
    </row>
    <row r="24" spans="1:4" ht="15" thickBot="1">
      <c r="A24" s="12" t="str">
        <f>'anexa2_2 Buget_detaliat'!A30</f>
        <v>Cheltuieli cu investițiile în software</v>
      </c>
      <c r="B24" s="12">
        <f>'anexa2_2 Buget_detaliat'!E35</f>
        <v>91500</v>
      </c>
      <c r="C24" s="11"/>
      <c r="D24" s="12">
        <v>91500</v>
      </c>
    </row>
    <row r="25" spans="1:4" ht="15" thickBot="1">
      <c r="A25" s="14" t="s">
        <v>68</v>
      </c>
      <c r="B25" s="15">
        <f>SUM(B21:B24)</f>
        <v>92300</v>
      </c>
      <c r="C25" s="15">
        <f t="shared" ref="C25:D25" si="1">SUM(C21:C24)</f>
        <v>0</v>
      </c>
      <c r="D25" s="15">
        <f t="shared" si="1"/>
        <v>92300</v>
      </c>
    </row>
    <row r="26" spans="1:4">
      <c r="A26" s="18" t="s">
        <v>69</v>
      </c>
      <c r="B26" s="19">
        <f>B19+B25</f>
        <v>130450</v>
      </c>
      <c r="C26" s="19">
        <f>C19+C25</f>
        <v>0</v>
      </c>
      <c r="D26" s="19">
        <f>D19+D25</f>
        <v>130450</v>
      </c>
    </row>
  </sheetData>
  <mergeCells count="5">
    <mergeCell ref="C3:D3"/>
    <mergeCell ref="B3:B6"/>
    <mergeCell ref="C4:C6"/>
    <mergeCell ref="D4:D6"/>
    <mergeCell ref="A1:D1"/>
  </mergeCells>
  <dataValidations count="1">
    <dataValidation type="list" allowBlank="1" showInputMessage="1" showErrorMessage="1" sqref="A6" xr:uid="{00000000-0002-0000-0200-000000000000}">
      <formula1>"RON, EUR"</formula1>
    </dataValidation>
  </dataValidations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ACDF7F7C82C4F9C50369EE5836132" ma:contentTypeVersion="3" ma:contentTypeDescription="Create a new document." ma:contentTypeScope="" ma:versionID="89f952bfeee4dc86172ccd08c930ac07">
  <xsd:schema xmlns:xsd="http://www.w3.org/2001/XMLSchema" xmlns:xs="http://www.w3.org/2001/XMLSchema" xmlns:p="http://schemas.microsoft.com/office/2006/metadata/properties" xmlns:ns2="b3b42ea7-396e-4203-8b01-838fbcf2db2f" targetNamespace="http://schemas.microsoft.com/office/2006/metadata/properties" ma:root="true" ma:fieldsID="aab45768638837bf02189939ca92e894" ns2:_="">
    <xsd:import namespace="b3b42ea7-396e-4203-8b01-838fbcf2d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42ea7-396e-4203-8b01-838fbcf2db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59F6E0-93A5-4946-9444-0F19BECF531E}"/>
</file>

<file path=customXml/itemProps2.xml><?xml version="1.0" encoding="utf-8"?>
<ds:datastoreItem xmlns:ds="http://schemas.openxmlformats.org/officeDocument/2006/customXml" ds:itemID="{BEE42BE6-36A5-4645-B31C-9091E9BFD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7F0BAF-9C58-4AC8-BB0B-7CC4D5BCA3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anexa2_1 Resurse</vt:lpstr>
      <vt:lpstr>anexa2_2 Buget_detaliat</vt:lpstr>
      <vt:lpstr>anexa2_3 Buget_general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POPESCUL</dc:creator>
  <cp:keywords/>
  <dc:description/>
  <cp:lastModifiedBy>Paun Marius</cp:lastModifiedBy>
  <cp:revision/>
  <dcterms:created xsi:type="dcterms:W3CDTF">2020-09-22T06:33:00Z</dcterms:created>
  <dcterms:modified xsi:type="dcterms:W3CDTF">2026-01-10T08:40:26Z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  <property fmtid="{D5CDD505-2E9C-101B-9397-08002B2CF9AE}" pid="3" name="ContentTypeId">
    <vt:lpwstr>0x0101004A9ACDF7F7C82C4F9C50369EE5836132</vt:lpwstr>
  </property>
</Properties>
</file>